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90cacb06cfaf160/Documents/Supply Chain Analytics/"/>
    </mc:Choice>
  </mc:AlternateContent>
  <xr:revisionPtr revIDLastSave="0" documentId="8_{DF5217CC-23DA-4871-B23E-A694370B7F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eekly Demand Data" sheetId="1" r:id="rId1"/>
    <sheet name="Calibration &amp; Assumptions" sheetId="2" r:id="rId2"/>
    <sheet name="Demand 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8" i="1" l="1"/>
  <c r="H14" i="3" s="1"/>
  <c r="C108" i="1"/>
  <c r="B108" i="1"/>
  <c r="H12" i="3" s="1"/>
  <c r="H8" i="3" l="1"/>
  <c r="H10" i="3"/>
  <c r="H6" i="3"/>
</calcChain>
</file>

<file path=xl/sharedStrings.xml><?xml version="1.0" encoding="utf-8"?>
<sst xmlns="http://schemas.openxmlformats.org/spreadsheetml/2006/main" count="251" uniqueCount="220">
  <si>
    <t>Surbex-Z Synthetic Weekly Demand Dataset (104 Weeks)</t>
  </si>
  <si>
    <t>Illustrative data, calibrated to Abbott Laboratories's disclosed scale — not actual company figures.</t>
  </si>
  <si>
    <t>Week_Start_Date</t>
  </si>
  <si>
    <t>Units_Sold</t>
  </si>
  <si>
    <t>Unit_Price_PKR</t>
  </si>
  <si>
    <t>Promotion_Flag</t>
  </si>
  <si>
    <t>Notes</t>
  </si>
  <si>
    <t>2025-01-06</t>
  </si>
  <si>
    <t>Winter flu season baseline high</t>
  </si>
  <si>
    <t>2025-01-13</t>
  </si>
  <si>
    <t>Winter peak demand</t>
  </si>
  <si>
    <t>2025-01-20</t>
  </si>
  <si>
    <t>Trade discount promotion</t>
  </si>
  <si>
    <t>2025-01-27</t>
  </si>
  <si>
    <t>Post-promo drop</t>
  </si>
  <si>
    <t>2025-02-03</t>
  </si>
  <si>
    <t>Standard baseline</t>
  </si>
  <si>
    <t>2025-02-10</t>
  </si>
  <si>
    <t>2025-02-17</t>
  </si>
  <si>
    <t>Pre-Ramadan inventory adjustment</t>
  </si>
  <si>
    <t>2025-02-24</t>
  </si>
  <si>
    <t>Ramadan pre-stocking trade scheme</t>
  </si>
  <si>
    <t>2025-03-03</t>
  </si>
  <si>
    <t>Ramadan Start - increased vitamin intake</t>
  </si>
  <si>
    <t>2025-03-10</t>
  </si>
  <si>
    <t>Ramadan steady demand</t>
  </si>
  <si>
    <t>2025-03-17</t>
  </si>
  <si>
    <t>Late Ramadan demand</t>
  </si>
  <si>
    <t>2025-03-24</t>
  </si>
  <si>
    <t>Eid-ul-Fitr week (distributor holiday shutdown)</t>
  </si>
  <si>
    <t>2025-03-31</t>
  </si>
  <si>
    <t>Post-Eid recovery</t>
  </si>
  <si>
    <t>2025-04-07</t>
  </si>
  <si>
    <t>Spring baseline</t>
  </si>
  <si>
    <t>2025-04-14</t>
  </si>
  <si>
    <t>2025-04-21</t>
  </si>
  <si>
    <t>Annual price revision effective</t>
  </si>
  <si>
    <t>2025-04-28</t>
  </si>
  <si>
    <t>Slight demand dip after price increase</t>
  </si>
  <si>
    <t>2025-05-05</t>
  </si>
  <si>
    <t>Baseline normalized</t>
  </si>
  <si>
    <t>2025-05-12</t>
  </si>
  <si>
    <t>Baseline demand</t>
  </si>
  <si>
    <t>2025-05-19</t>
  </si>
  <si>
    <t>Summer wellness trade promotion</t>
  </si>
  <si>
    <t>2025-05-26</t>
  </si>
  <si>
    <t>Post-promo normalization</t>
  </si>
  <si>
    <t>2025-06-02</t>
  </si>
  <si>
    <t>Eid-ul-Adha holiday week</t>
  </si>
  <si>
    <t>2025-06-09</t>
  </si>
  <si>
    <t>Post-Eid restocking</t>
  </si>
  <si>
    <t>2025-06-16</t>
  </si>
  <si>
    <t>Early summer baseline</t>
  </si>
  <si>
    <t>2025-06-23</t>
  </si>
  <si>
    <t>Mid-year distributor audit adjustment</t>
  </si>
  <si>
    <t>2025-06-30</t>
  </si>
  <si>
    <t>2025-07-07</t>
  </si>
  <si>
    <t>Monsoon onset</t>
  </si>
  <si>
    <t>2025-07-14</t>
  </si>
  <si>
    <t>Monsoon season - elevated illness cases</t>
  </si>
  <si>
    <t>2025-07-21</t>
  </si>
  <si>
    <t>Urban flooding disruption in major hubs</t>
  </si>
  <si>
    <t>2025-07-28</t>
  </si>
  <si>
    <t>Supply chain backlog recovery after floods</t>
  </si>
  <si>
    <t>2025-08-04</t>
  </si>
  <si>
    <t>Monsoon health push scheme</t>
  </si>
  <si>
    <t>2025-08-11</t>
  </si>
  <si>
    <t>2025-08-18</t>
  </si>
  <si>
    <t>2025-08-25</t>
  </si>
  <si>
    <t>Late summer baseline</t>
  </si>
  <si>
    <t>2025-09-01</t>
  </si>
  <si>
    <t>2025-09-08</t>
  </si>
  <si>
    <t>Pre-autumn demand buildup</t>
  </si>
  <si>
    <t>2025-09-15</t>
  </si>
  <si>
    <t>Pre-winter pharmacy stocking promo</t>
  </si>
  <si>
    <t>2025-09-22</t>
  </si>
  <si>
    <t>2025-09-29</t>
  </si>
  <si>
    <t>2025-10-06</t>
  </si>
  <si>
    <t>Autumn flu transition begins</t>
  </si>
  <si>
    <t>2025-10-13</t>
  </si>
  <si>
    <t>Increasing vitamin demand</t>
  </si>
  <si>
    <t>2025-10-20</t>
  </si>
  <si>
    <t>Steady autumn growth</t>
  </si>
  <si>
    <t>2025-10-27</t>
  </si>
  <si>
    <t>2025-11-03</t>
  </si>
  <si>
    <t>Winter immunity trade drive</t>
  </si>
  <si>
    <t>2025-11-10</t>
  </si>
  <si>
    <t>Post-promo level</t>
  </si>
  <si>
    <t>2025-11-17</t>
  </si>
  <si>
    <t>Early winter seasonal ramp</t>
  </si>
  <si>
    <t>2025-11-24</t>
  </si>
  <si>
    <t>Cold weather flu season buildup</t>
  </si>
  <si>
    <t>2025-12-01</t>
  </si>
  <si>
    <t>2025-12-08</t>
  </si>
  <si>
    <t>2025-12-15</t>
  </si>
  <si>
    <t>Pre-year-end stocking</t>
  </si>
  <si>
    <t>2025-12-22</t>
  </si>
  <si>
    <t>Year-end holiday slowdown</t>
  </si>
  <si>
    <t>2025-12-29</t>
  </si>
  <si>
    <t>Annual distributor stocktaking</t>
  </si>
  <si>
    <t>2026-01-05</t>
  </si>
  <si>
    <t>Year 2 baseline (reflects ~6% YoY growth)</t>
  </si>
  <si>
    <t>2026-01-12</t>
  </si>
  <si>
    <t>2026-01-19</t>
  </si>
  <si>
    <t>Winter wellness trade scheme</t>
  </si>
  <si>
    <t>2026-01-26</t>
  </si>
  <si>
    <t>2026-02-02</t>
  </si>
  <si>
    <t>Early Ramadan stocking</t>
  </si>
  <si>
    <t>2026-02-09</t>
  </si>
  <si>
    <t>Ramadan campaign launch promo</t>
  </si>
  <si>
    <t>2026-02-16</t>
  </si>
  <si>
    <t>Ramadan Start - peak daily consumption</t>
  </si>
  <si>
    <t>2026-02-23</t>
  </si>
  <si>
    <t>Mid-Ramadan demand</t>
  </si>
  <si>
    <t>2026-03-02</t>
  </si>
  <si>
    <t>2026-03-09</t>
  </si>
  <si>
    <t>Pre-Eid orders</t>
  </si>
  <si>
    <t>2026-03-16</t>
  </si>
  <si>
    <t>Eid-ul-Fitr week shutdown</t>
  </si>
  <si>
    <t>2026-03-23</t>
  </si>
  <si>
    <t>Post-Eid logistics recovery</t>
  </si>
  <si>
    <t>2026-03-30</t>
  </si>
  <si>
    <t>2026-04-06</t>
  </si>
  <si>
    <t>2026-04-13</t>
  </si>
  <si>
    <t>Annual price adjustment effective</t>
  </si>
  <si>
    <t>2026-04-20</t>
  </si>
  <si>
    <t>Post-price adjustment dip</t>
  </si>
  <si>
    <t>2026-04-27</t>
  </si>
  <si>
    <t>Baseline recovery</t>
  </si>
  <si>
    <t>2026-05-04</t>
  </si>
  <si>
    <t>2026-05-11</t>
  </si>
  <si>
    <t>Pre-summer trade discount</t>
  </si>
  <si>
    <t>2026-05-18</t>
  </si>
  <si>
    <t>2026-05-25</t>
  </si>
  <si>
    <t>Post-holiday recovery</t>
  </si>
  <si>
    <t>2026-06-01</t>
  </si>
  <si>
    <t>Summer baseline</t>
  </si>
  <si>
    <t>2026-06-08</t>
  </si>
  <si>
    <t>2026-06-15</t>
  </si>
  <si>
    <t>Mid-year distributor ordering</t>
  </si>
  <si>
    <t>2026-06-22</t>
  </si>
  <si>
    <t>Mid-year audit window</t>
  </si>
  <si>
    <t>2026-06-29</t>
  </si>
  <si>
    <t>2026-07-06</t>
  </si>
  <si>
    <t>2026-07-13</t>
  </si>
  <si>
    <t>Monsoon illness seasonal uptick</t>
  </si>
  <si>
    <t>2026-07-20</t>
  </si>
  <si>
    <t>Monsoon health promotion campaign</t>
  </si>
  <si>
    <t>2026-07-27</t>
  </si>
  <si>
    <t>2026-08-03</t>
  </si>
  <si>
    <t>2026-08-10</t>
  </si>
  <si>
    <t>2026-08-17</t>
  </si>
  <si>
    <t>2026-08-24</t>
  </si>
  <si>
    <t>Pre-autumn preparation</t>
  </si>
  <si>
    <t>2026-08-31</t>
  </si>
  <si>
    <t>2026-09-07</t>
  </si>
  <si>
    <t>Early autumn demand</t>
  </si>
  <si>
    <t>2026-09-14</t>
  </si>
  <si>
    <t>Pre-winter retail stocking scheme</t>
  </si>
  <si>
    <t>2026-09-21</t>
  </si>
  <si>
    <t>2026-09-28</t>
  </si>
  <si>
    <t>Autumn baseline</t>
  </si>
  <si>
    <t>2026-10-05</t>
  </si>
  <si>
    <t>Autumn flu transition</t>
  </si>
  <si>
    <t>2026-10-12</t>
  </si>
  <si>
    <t>Steady seasonal increase</t>
  </si>
  <si>
    <t>2026-10-19</t>
  </si>
  <si>
    <t>Pre-winter building</t>
  </si>
  <si>
    <t>2026-10-26</t>
  </si>
  <si>
    <t>2026-11-02</t>
  </si>
  <si>
    <t>Major winter trade promotion drive</t>
  </si>
  <si>
    <t>2026-11-09</t>
  </si>
  <si>
    <t>2026-11-16</t>
  </si>
  <si>
    <t>Winter peak season</t>
  </si>
  <si>
    <t>2026-11-23</t>
  </si>
  <si>
    <t>Cold weather flu season demand</t>
  </si>
  <si>
    <t>2026-12-07</t>
  </si>
  <si>
    <t>2026-12-14</t>
  </si>
  <si>
    <t>Pre-year-end distributor buffer</t>
  </si>
  <si>
    <t>2026-12-21</t>
  </si>
  <si>
    <t>2026-12-28</t>
  </si>
  <si>
    <t>Annual inventory cutoff and audit</t>
  </si>
  <si>
    <t>Total / Average</t>
  </si>
  <si>
    <t>Surbex-Z Demand Model — Calibration &amp; Assumptions</t>
  </si>
  <si>
    <t>1. Calibration &amp; Scale Rationale</t>
  </si>
  <si>
    <t>Metric</t>
  </si>
  <si>
    <t>Assumed Value</t>
  </si>
  <si>
    <t>Strategic Context / Rationale</t>
  </si>
  <si>
    <t>Company Annual Revenue</t>
  </si>
  <si>
    <t>PKR 68.2 Billion</t>
  </si>
  <si>
    <t>Abbott Laboratories (Pakistan) Limited reported net sales revenue of ~PKR 68.2B (FY2024 / CY2024).</t>
  </si>
  <si>
    <t>Surbex-Z Share Assumption</t>
  </si>
  <si>
    <t>5.0% of Revenue</t>
  </si>
  <si>
    <t>Assuming Surbex-Z accounts for ~PKR 3.41 Billion annually as a flagship nutritional product.</t>
  </si>
  <si>
    <t>Average Retail Price</t>
  </si>
  <si>
    <t>PKR 450 / Pack</t>
  </si>
  <si>
    <t>Baseline retail price point assumed across the 104-week horizon (adjusting to PKR 460/485).</t>
  </si>
  <si>
    <t>Baseline Weekly Volume</t>
  </si>
  <si>
    <t>145,000 Units</t>
  </si>
  <si>
    <t>Calculated as: (PKR 3.41B / PKR 450) / 52 weeks ≈ 145,726 units/week starting point.</t>
  </si>
  <si>
    <t>2. Model Assumptions &amp; Characteristics</t>
  </si>
  <si>
    <t>Dimension</t>
  </si>
  <si>
    <t>Description / Details</t>
  </si>
  <si>
    <t>Baseline &amp; Scale</t>
  </si>
  <si>
    <t>The dataset assumes a starting baseline weekly demand of ~145,000 units, calibrated to represent approximately 5% of Abbott Pakistan's annual net revenues at an average price point of PKR 440–485 per unit.</t>
  </si>
  <si>
    <t>Organic Growth Trend</t>
  </si>
  <si>
    <t>An underlying annual trend of +6% growth was built in to reflect realistic pharmaceutical market inflation and population-driven demand expansion in Pakistan.</t>
  </si>
  <si>
    <t>Seasonal Patterns</t>
  </si>
  <si>
    <t>Seasonal dynamics reflect higher vitamin/supplement consumption during the winter flu season (Nov–Jan) and monsoon illness season (July–Aug), alongside dip-and-rebound patterns surrounding Islamic holidays (Eid-ul-Fitr and Eid-ul-Adha) due to distributor closures.</t>
  </si>
  <si>
    <t>Promotional Lifts</t>
  </si>
  <si>
    <t>Trade promotions (Flag = 1) run 5–6 times per year, generating an immediate volume lift of 15% to 35% driven by distributor pre-stocking.</t>
  </si>
  <si>
    <t>Dataset Limitations</t>
  </si>
  <si>
    <t>This synthetic dataset does NOT capture secondary point-of-sale (POS) sell-through at individual retail pharmacies, sudden regulatory price caps or delays imposed by the Drug Regulatory Authority of Pakistan (DRAP), or extreme macro-level import restrictions on Active Pharmaceutical Ingredients (APIs).</t>
  </si>
  <si>
    <t>Surbex-Z Weekly Demand Trend &amp; Promotional Impact</t>
  </si>
  <si>
    <t>Key Metric Summaries</t>
  </si>
  <si>
    <t>Total 2-Year Units Sold</t>
  </si>
  <si>
    <t>Average Weekly Demand</t>
  </si>
  <si>
    <t>Peak Weekly Demand</t>
  </si>
  <si>
    <t>Minimum Weekly Demand</t>
  </si>
  <si>
    <t>Total Promotional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</si>
</sst>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P\K\R\ #,##0.00"/>
  </numFmts>
  <fonts count="11" x14ac:knownFonts="1">
    <font>
      <sz val="11"/>
      <color theme="1"/>
      <name val="Calibri"/>
      <family val="2"/>
      <scheme val="minor"/>
    </font>
    <font>
      <b/>
      <sz val="16"/>
      <color rgb="FF1B365D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2"/>
      <color rgb="FF1B365D"/>
      <name val="Arial"/>
    </font>
    <font>
      <b/>
      <sz val="10"/>
      <color rgb="FFFFFFFF"/>
      <name val="Arial"/>
    </font>
    <font>
      <b/>
      <sz val="11"/>
      <color rgb="FF1B365D"/>
      <name val="Arial"/>
    </font>
    <font>
      <b/>
      <sz val="9"/>
      <color rgb="FF555555"/>
      <name val="Arial"/>
    </font>
    <font>
      <b/>
      <sz val="14"/>
      <color rgb="FF1B365D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EBF1F5"/>
        <bgColor rgb="FFEBF1F5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0" fillId="0" borderId="2" xfId="0" applyBorder="1"/>
    <xf numFmtId="0" fontId="6" fillId="0" borderId="0" xfId="0" applyFont="1"/>
    <xf numFmtId="0" fontId="7" fillId="2" borderId="0" xfId="0" applyFont="1" applyFill="1" applyAlignment="1">
      <alignment horizontal="left" vertical="center"/>
    </xf>
    <xf numFmtId="0" fontId="5" fillId="3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4" fillId="0" borderId="1" xfId="0" applyFont="1" applyBorder="1"/>
    <xf numFmtId="0" fontId="7" fillId="2" borderId="0" xfId="0" applyFont="1" applyFill="1"/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8" fillId="0" borderId="0" xfId="0" applyFont="1"/>
    <xf numFmtId="0" fontId="9" fillId="0" borderId="0" xfId="0" applyFont="1"/>
    <xf numFmtId="3" fontId="10" fillId="4" borderId="1" xfId="0" applyNumberFormat="1" applyFont="1" applyFill="1" applyBorder="1" applyAlignment="1">
      <alignment horizontal="center" vertical="center"/>
    </xf>
    <xf numFmtId="1" fontId="10" fillId="4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t>Surbex-Z Weekly Demand Pattern (2025 - 2026)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Demand Data'!$B$4</c:f>
              <c:strCache>
                <c:ptCount val="1"/>
                <c:pt idx="0">
                  <c:v>Units_Sold</c:v>
                </c:pt>
              </c:strCache>
            </c:strRef>
          </c:tx>
          <c:spPr>
            <a:ln w="22000">
              <a:solidFill>
                <a:srgbClr val="1B365D"/>
              </a:solidFill>
              <a:prstDash val="solid"/>
            </a:ln>
          </c:spPr>
          <c:marker>
            <c:symbol val="none"/>
          </c:marker>
          <c:cat>
            <c:strRef>
              <c:f>'Weekly Demand Data'!$A$5:$A$108</c:f>
              <c:strCache>
                <c:ptCount val="104"/>
                <c:pt idx="0">
                  <c:v>2025-01-06</c:v>
                </c:pt>
                <c:pt idx="1">
                  <c:v>2025-01-13</c:v>
                </c:pt>
                <c:pt idx="2">
                  <c:v>2025-01-20</c:v>
                </c:pt>
                <c:pt idx="3">
                  <c:v>2025-01-27</c:v>
                </c:pt>
                <c:pt idx="4">
                  <c:v>2025-02-03</c:v>
                </c:pt>
                <c:pt idx="5">
                  <c:v>2025-02-10</c:v>
                </c:pt>
                <c:pt idx="6">
                  <c:v>2025-02-17</c:v>
                </c:pt>
                <c:pt idx="7">
                  <c:v>2025-02-24</c:v>
                </c:pt>
                <c:pt idx="8">
                  <c:v>2025-03-03</c:v>
                </c:pt>
                <c:pt idx="9">
                  <c:v>2025-03-10</c:v>
                </c:pt>
                <c:pt idx="10">
                  <c:v>2025-03-17</c:v>
                </c:pt>
                <c:pt idx="11">
                  <c:v>2025-03-24</c:v>
                </c:pt>
                <c:pt idx="12">
                  <c:v>2025-03-31</c:v>
                </c:pt>
                <c:pt idx="13">
                  <c:v>2025-04-07</c:v>
                </c:pt>
                <c:pt idx="14">
                  <c:v>2025-04-14</c:v>
                </c:pt>
                <c:pt idx="15">
                  <c:v>2025-04-21</c:v>
                </c:pt>
                <c:pt idx="16">
                  <c:v>2025-04-28</c:v>
                </c:pt>
                <c:pt idx="17">
                  <c:v>2025-05-05</c:v>
                </c:pt>
                <c:pt idx="18">
                  <c:v>2025-05-12</c:v>
                </c:pt>
                <c:pt idx="19">
                  <c:v>2025-05-19</c:v>
                </c:pt>
                <c:pt idx="20">
                  <c:v>2025-05-26</c:v>
                </c:pt>
                <c:pt idx="21">
                  <c:v>2025-06-02</c:v>
                </c:pt>
                <c:pt idx="22">
                  <c:v>2025-06-09</c:v>
                </c:pt>
                <c:pt idx="23">
                  <c:v>2025-06-16</c:v>
                </c:pt>
                <c:pt idx="24">
                  <c:v>2025-06-23</c:v>
                </c:pt>
                <c:pt idx="25">
                  <c:v>2025-06-30</c:v>
                </c:pt>
                <c:pt idx="26">
                  <c:v>2025-07-07</c:v>
                </c:pt>
                <c:pt idx="27">
                  <c:v>2025-07-14</c:v>
                </c:pt>
                <c:pt idx="28">
                  <c:v>2025-07-21</c:v>
                </c:pt>
                <c:pt idx="29">
                  <c:v>2025-07-28</c:v>
                </c:pt>
                <c:pt idx="30">
                  <c:v>2025-08-04</c:v>
                </c:pt>
                <c:pt idx="31">
                  <c:v>2025-08-11</c:v>
                </c:pt>
                <c:pt idx="32">
                  <c:v>2025-08-18</c:v>
                </c:pt>
                <c:pt idx="33">
                  <c:v>2025-08-25</c:v>
                </c:pt>
                <c:pt idx="34">
                  <c:v>2025-09-01</c:v>
                </c:pt>
                <c:pt idx="35">
                  <c:v>2025-09-08</c:v>
                </c:pt>
                <c:pt idx="36">
                  <c:v>2025-09-15</c:v>
                </c:pt>
                <c:pt idx="37">
                  <c:v>2025-09-22</c:v>
                </c:pt>
                <c:pt idx="38">
                  <c:v>2025-09-29</c:v>
                </c:pt>
                <c:pt idx="39">
                  <c:v>2025-10-06</c:v>
                </c:pt>
                <c:pt idx="40">
                  <c:v>2025-10-13</c:v>
                </c:pt>
                <c:pt idx="41">
                  <c:v>2025-10-20</c:v>
                </c:pt>
                <c:pt idx="42">
                  <c:v>2025-10-27</c:v>
                </c:pt>
                <c:pt idx="43">
                  <c:v>2025-11-03</c:v>
                </c:pt>
                <c:pt idx="44">
                  <c:v>2025-11-10</c:v>
                </c:pt>
                <c:pt idx="45">
                  <c:v>2025-11-17</c:v>
                </c:pt>
                <c:pt idx="46">
                  <c:v>2025-11-24</c:v>
                </c:pt>
                <c:pt idx="47">
                  <c:v>2025-12-01</c:v>
                </c:pt>
                <c:pt idx="48">
                  <c:v>2025-12-08</c:v>
                </c:pt>
                <c:pt idx="49">
                  <c:v>2025-12-15</c:v>
                </c:pt>
                <c:pt idx="50">
                  <c:v>2025-12-22</c:v>
                </c:pt>
                <c:pt idx="51">
                  <c:v>2025-12-29</c:v>
                </c:pt>
                <c:pt idx="52">
                  <c:v>2026-01-05</c:v>
                </c:pt>
                <c:pt idx="53">
                  <c:v>2026-01-12</c:v>
                </c:pt>
                <c:pt idx="54">
                  <c:v>2026-01-19</c:v>
                </c:pt>
                <c:pt idx="55">
                  <c:v>2026-01-26</c:v>
                </c:pt>
                <c:pt idx="56">
                  <c:v>2026-02-02</c:v>
                </c:pt>
                <c:pt idx="57">
                  <c:v>2026-02-09</c:v>
                </c:pt>
                <c:pt idx="58">
                  <c:v>2026-02-16</c:v>
                </c:pt>
                <c:pt idx="59">
                  <c:v>2026-02-23</c:v>
                </c:pt>
                <c:pt idx="60">
                  <c:v>2026-03-02</c:v>
                </c:pt>
                <c:pt idx="61">
                  <c:v>2026-03-09</c:v>
                </c:pt>
                <c:pt idx="62">
                  <c:v>2026-03-16</c:v>
                </c:pt>
                <c:pt idx="63">
                  <c:v>2026-03-23</c:v>
                </c:pt>
                <c:pt idx="64">
                  <c:v>2026-03-30</c:v>
                </c:pt>
                <c:pt idx="65">
                  <c:v>2026-04-06</c:v>
                </c:pt>
                <c:pt idx="66">
                  <c:v>2026-04-13</c:v>
                </c:pt>
                <c:pt idx="67">
                  <c:v>2026-04-20</c:v>
                </c:pt>
                <c:pt idx="68">
                  <c:v>2026-04-27</c:v>
                </c:pt>
                <c:pt idx="69">
                  <c:v>2026-05-04</c:v>
                </c:pt>
                <c:pt idx="70">
                  <c:v>2026-05-11</c:v>
                </c:pt>
                <c:pt idx="71">
                  <c:v>2026-05-18</c:v>
                </c:pt>
                <c:pt idx="72">
                  <c:v>2026-05-25</c:v>
                </c:pt>
                <c:pt idx="73">
                  <c:v>2026-06-01</c:v>
                </c:pt>
                <c:pt idx="74">
                  <c:v>2026-06-08</c:v>
                </c:pt>
                <c:pt idx="75">
                  <c:v>2026-06-15</c:v>
                </c:pt>
                <c:pt idx="76">
                  <c:v>2026-06-22</c:v>
                </c:pt>
                <c:pt idx="77">
                  <c:v>2026-06-29</c:v>
                </c:pt>
                <c:pt idx="78">
                  <c:v>2026-07-06</c:v>
                </c:pt>
                <c:pt idx="79">
                  <c:v>2026-07-13</c:v>
                </c:pt>
                <c:pt idx="80">
                  <c:v>2026-07-20</c:v>
                </c:pt>
                <c:pt idx="81">
                  <c:v>2026-07-27</c:v>
                </c:pt>
                <c:pt idx="82">
                  <c:v>2026-08-03</c:v>
                </c:pt>
                <c:pt idx="83">
                  <c:v>2026-08-10</c:v>
                </c:pt>
                <c:pt idx="84">
                  <c:v>2026-08-17</c:v>
                </c:pt>
                <c:pt idx="85">
                  <c:v>2026-08-24</c:v>
                </c:pt>
                <c:pt idx="86">
                  <c:v>2026-08-31</c:v>
                </c:pt>
                <c:pt idx="87">
                  <c:v>2026-09-07</c:v>
                </c:pt>
                <c:pt idx="88">
                  <c:v>2026-09-14</c:v>
                </c:pt>
                <c:pt idx="89">
                  <c:v>2026-09-21</c:v>
                </c:pt>
                <c:pt idx="90">
                  <c:v>2026-09-28</c:v>
                </c:pt>
                <c:pt idx="91">
                  <c:v>2026-10-05</c:v>
                </c:pt>
                <c:pt idx="92">
                  <c:v>2026-10-12</c:v>
                </c:pt>
                <c:pt idx="93">
                  <c:v>2026-10-19</c:v>
                </c:pt>
                <c:pt idx="94">
                  <c:v>2026-10-26</c:v>
                </c:pt>
                <c:pt idx="95">
                  <c:v>2026-11-02</c:v>
                </c:pt>
                <c:pt idx="96">
                  <c:v>2026-11-09</c:v>
                </c:pt>
                <c:pt idx="97">
                  <c:v>2026-11-16</c:v>
                </c:pt>
                <c:pt idx="98">
                  <c:v>2026-11-23</c:v>
                </c:pt>
                <c:pt idx="99">
                  <c:v>2026-12-07</c:v>
                </c:pt>
                <c:pt idx="100">
                  <c:v>2026-12-14</c:v>
                </c:pt>
                <c:pt idx="101">
                  <c:v>2026-12-21</c:v>
                </c:pt>
                <c:pt idx="102">
                  <c:v>2026-12-28</c:v>
                </c:pt>
                <c:pt idx="103">
                  <c:v>Total / Average</c:v>
                </c:pt>
              </c:strCache>
            </c:strRef>
          </c:cat>
          <c:val>
            <c:numRef>
              <c:f>'Weekly Demand Data'!$B$5:$B$108</c:f>
              <c:numCache>
                <c:formatCode>#,##0</c:formatCode>
                <c:ptCount val="104"/>
                <c:pt idx="0">
                  <c:v>152400</c:v>
                </c:pt>
                <c:pt idx="1">
                  <c:v>154100</c:v>
                </c:pt>
                <c:pt idx="2">
                  <c:v>172300</c:v>
                </c:pt>
                <c:pt idx="3">
                  <c:v>148900</c:v>
                </c:pt>
                <c:pt idx="4">
                  <c:v>143200</c:v>
                </c:pt>
                <c:pt idx="5">
                  <c:v>141500</c:v>
                </c:pt>
                <c:pt idx="6">
                  <c:v>139800</c:v>
                </c:pt>
                <c:pt idx="7">
                  <c:v>158200</c:v>
                </c:pt>
                <c:pt idx="8">
                  <c:v>162400</c:v>
                </c:pt>
                <c:pt idx="9">
                  <c:v>159800</c:v>
                </c:pt>
                <c:pt idx="10">
                  <c:v>156200</c:v>
                </c:pt>
                <c:pt idx="11">
                  <c:v>122100</c:v>
                </c:pt>
                <c:pt idx="12">
                  <c:v>138500</c:v>
                </c:pt>
                <c:pt idx="13">
                  <c:v>141000</c:v>
                </c:pt>
                <c:pt idx="14">
                  <c:v>140200</c:v>
                </c:pt>
                <c:pt idx="15">
                  <c:v>139600</c:v>
                </c:pt>
                <c:pt idx="16">
                  <c:v>138100</c:v>
                </c:pt>
                <c:pt idx="17">
                  <c:v>139800</c:v>
                </c:pt>
                <c:pt idx="18">
                  <c:v>141200</c:v>
                </c:pt>
                <c:pt idx="19">
                  <c:v>165400</c:v>
                </c:pt>
                <c:pt idx="20">
                  <c:v>143000</c:v>
                </c:pt>
                <c:pt idx="21">
                  <c:v>125000</c:v>
                </c:pt>
                <c:pt idx="22">
                  <c:v>137800</c:v>
                </c:pt>
                <c:pt idx="23">
                  <c:v>142500</c:v>
                </c:pt>
                <c:pt idx="24">
                  <c:v>144100</c:v>
                </c:pt>
                <c:pt idx="25">
                  <c:v>143600</c:v>
                </c:pt>
                <c:pt idx="26">
                  <c:v>145200</c:v>
                </c:pt>
                <c:pt idx="27">
                  <c:v>148900</c:v>
                </c:pt>
                <c:pt idx="28">
                  <c:v>118500</c:v>
                </c:pt>
                <c:pt idx="29">
                  <c:v>158400</c:v>
                </c:pt>
                <c:pt idx="30">
                  <c:v>179200</c:v>
                </c:pt>
                <c:pt idx="31">
                  <c:v>151000</c:v>
                </c:pt>
                <c:pt idx="32">
                  <c:v>147600</c:v>
                </c:pt>
                <c:pt idx="33">
                  <c:v>146800</c:v>
                </c:pt>
                <c:pt idx="34">
                  <c:v>148200</c:v>
                </c:pt>
                <c:pt idx="35">
                  <c:v>149100</c:v>
                </c:pt>
                <c:pt idx="36">
                  <c:v>174300</c:v>
                </c:pt>
                <c:pt idx="37">
                  <c:v>151500</c:v>
                </c:pt>
                <c:pt idx="38">
                  <c:v>150200</c:v>
                </c:pt>
                <c:pt idx="39">
                  <c:v>152800</c:v>
                </c:pt>
                <c:pt idx="40">
                  <c:v>155400</c:v>
                </c:pt>
                <c:pt idx="41">
                  <c:v>157100</c:v>
                </c:pt>
                <c:pt idx="42">
                  <c:v>158900</c:v>
                </c:pt>
                <c:pt idx="43">
                  <c:v>185200</c:v>
                </c:pt>
                <c:pt idx="44">
                  <c:v>161400</c:v>
                </c:pt>
                <c:pt idx="45">
                  <c:v>163800</c:v>
                </c:pt>
                <c:pt idx="46">
                  <c:v>166000</c:v>
                </c:pt>
                <c:pt idx="47">
                  <c:v>168500</c:v>
                </c:pt>
                <c:pt idx="48">
                  <c:v>170100</c:v>
                </c:pt>
                <c:pt idx="49">
                  <c:v>171900</c:v>
                </c:pt>
                <c:pt idx="50">
                  <c:v>162300</c:v>
                </c:pt>
                <c:pt idx="51">
                  <c:v>148500</c:v>
                </c:pt>
                <c:pt idx="52">
                  <c:v>161200</c:v>
                </c:pt>
                <c:pt idx="53">
                  <c:v>163500</c:v>
                </c:pt>
                <c:pt idx="54">
                  <c:v>188400</c:v>
                </c:pt>
                <c:pt idx="55">
                  <c:v>157900</c:v>
                </c:pt>
                <c:pt idx="56">
                  <c:v>152400</c:v>
                </c:pt>
                <c:pt idx="57">
                  <c:v>176100</c:v>
                </c:pt>
                <c:pt idx="58">
                  <c:v>172500</c:v>
                </c:pt>
                <c:pt idx="59">
                  <c:v>169200</c:v>
                </c:pt>
                <c:pt idx="60">
                  <c:v>166100</c:v>
                </c:pt>
                <c:pt idx="61">
                  <c:v>164000</c:v>
                </c:pt>
                <c:pt idx="62">
                  <c:v>131200</c:v>
                </c:pt>
                <c:pt idx="63">
                  <c:v>148500</c:v>
                </c:pt>
                <c:pt idx="64">
                  <c:v>150100</c:v>
                </c:pt>
                <c:pt idx="65">
                  <c:v>149800</c:v>
                </c:pt>
                <c:pt idx="66">
                  <c:v>148200</c:v>
                </c:pt>
                <c:pt idx="67">
                  <c:v>147000</c:v>
                </c:pt>
                <c:pt idx="68">
                  <c:v>149100</c:v>
                </c:pt>
                <c:pt idx="69">
                  <c:v>150800</c:v>
                </c:pt>
                <c:pt idx="70">
                  <c:v>178200</c:v>
                </c:pt>
                <c:pt idx="71">
                  <c:v>135100</c:v>
                </c:pt>
                <c:pt idx="72">
                  <c:v>148900</c:v>
                </c:pt>
                <c:pt idx="73">
                  <c:v>152100</c:v>
                </c:pt>
                <c:pt idx="74">
                  <c:v>153600</c:v>
                </c:pt>
                <c:pt idx="75">
                  <c:v>154800</c:v>
                </c:pt>
                <c:pt idx="76">
                  <c:v>153200</c:v>
                </c:pt>
                <c:pt idx="77">
                  <c:v>154000</c:v>
                </c:pt>
                <c:pt idx="78">
                  <c:v>156200</c:v>
                </c:pt>
                <c:pt idx="79">
                  <c:v>160100</c:v>
                </c:pt>
                <c:pt idx="80">
                  <c:v>192500</c:v>
                </c:pt>
                <c:pt idx="81">
                  <c:v>161800</c:v>
                </c:pt>
                <c:pt idx="82">
                  <c:v>157400</c:v>
                </c:pt>
                <c:pt idx="83">
                  <c:v>156800</c:v>
                </c:pt>
                <c:pt idx="84">
                  <c:v>158100</c:v>
                </c:pt>
                <c:pt idx="85">
                  <c:v>157200</c:v>
                </c:pt>
                <c:pt idx="86">
                  <c:v>159000</c:v>
                </c:pt>
                <c:pt idx="87">
                  <c:v>161200</c:v>
                </c:pt>
                <c:pt idx="88">
                  <c:v>189400</c:v>
                </c:pt>
                <c:pt idx="89">
                  <c:v>163500</c:v>
                </c:pt>
                <c:pt idx="90">
                  <c:v>162100</c:v>
                </c:pt>
                <c:pt idx="91">
                  <c:v>164800</c:v>
                </c:pt>
                <c:pt idx="92">
                  <c:v>167200</c:v>
                </c:pt>
                <c:pt idx="93">
                  <c:v>169100</c:v>
                </c:pt>
                <c:pt idx="94">
                  <c:v>171000</c:v>
                </c:pt>
                <c:pt idx="95">
                  <c:v>201500</c:v>
                </c:pt>
                <c:pt idx="96">
                  <c:v>173800</c:v>
                </c:pt>
                <c:pt idx="97">
                  <c:v>176200</c:v>
                </c:pt>
                <c:pt idx="98">
                  <c:v>178900</c:v>
                </c:pt>
                <c:pt idx="99">
                  <c:v>182500</c:v>
                </c:pt>
                <c:pt idx="100">
                  <c:v>184100</c:v>
                </c:pt>
                <c:pt idx="101">
                  <c:v>173000</c:v>
                </c:pt>
                <c:pt idx="102">
                  <c:v>158200</c:v>
                </c:pt>
                <c:pt idx="103">
                  <c:v>16193000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D8-4FED-8303-FED2CD412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Week Start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Units Sold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9" customWidth="1"/>
    <col min="2" max="2" width="17" customWidth="1"/>
    <col min="3" max="3" width="21" customWidth="1"/>
    <col min="4" max="4" width="18" customWidth="1"/>
    <col min="5" max="5" width="45" customWidth="1"/>
  </cols>
  <sheetData>
    <row r="1" spans="1:5" ht="20" x14ac:dyDescent="0.4">
      <c r="A1" s="29" t="s">
        <v>0</v>
      </c>
      <c r="B1" s="28"/>
      <c r="C1" s="28"/>
      <c r="D1" s="28"/>
      <c r="E1" s="28"/>
    </row>
    <row r="2" spans="1:5" x14ac:dyDescent="0.35">
      <c r="A2" s="27" t="s">
        <v>1</v>
      </c>
      <c r="B2" s="28"/>
      <c r="C2" s="28"/>
      <c r="D2" s="28"/>
      <c r="E2" s="28"/>
    </row>
    <row r="4" spans="1:5" ht="2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9" customHeight="1" x14ac:dyDescent="0.35">
      <c r="A5" s="2" t="s">
        <v>7</v>
      </c>
      <c r="B5" s="3">
        <v>152400</v>
      </c>
      <c r="C5" s="4">
        <v>440</v>
      </c>
      <c r="D5" s="2">
        <v>0</v>
      </c>
      <c r="E5" s="5" t="s">
        <v>8</v>
      </c>
    </row>
    <row r="6" spans="1:5" ht="19" customHeight="1" x14ac:dyDescent="0.35">
      <c r="A6" s="6" t="s">
        <v>9</v>
      </c>
      <c r="B6" s="7">
        <v>154100</v>
      </c>
      <c r="C6" s="8">
        <v>440</v>
      </c>
      <c r="D6" s="6">
        <v>0</v>
      </c>
      <c r="E6" s="9" t="s">
        <v>10</v>
      </c>
    </row>
    <row r="7" spans="1:5" ht="19" customHeight="1" x14ac:dyDescent="0.35">
      <c r="A7" s="2" t="s">
        <v>11</v>
      </c>
      <c r="B7" s="3">
        <v>172300</v>
      </c>
      <c r="C7" s="4">
        <v>440</v>
      </c>
      <c r="D7" s="2">
        <v>1</v>
      </c>
      <c r="E7" s="5" t="s">
        <v>12</v>
      </c>
    </row>
    <row r="8" spans="1:5" ht="19" customHeight="1" x14ac:dyDescent="0.35">
      <c r="A8" s="6" t="s">
        <v>13</v>
      </c>
      <c r="B8" s="7">
        <v>148900</v>
      </c>
      <c r="C8" s="8">
        <v>440</v>
      </c>
      <c r="D8" s="6">
        <v>0</v>
      </c>
      <c r="E8" s="9" t="s">
        <v>14</v>
      </c>
    </row>
    <row r="9" spans="1:5" ht="19" customHeight="1" x14ac:dyDescent="0.35">
      <c r="A9" s="2" t="s">
        <v>15</v>
      </c>
      <c r="B9" s="3">
        <v>143200</v>
      </c>
      <c r="C9" s="4">
        <v>440</v>
      </c>
      <c r="D9" s="2">
        <v>0</v>
      </c>
      <c r="E9" s="5" t="s">
        <v>16</v>
      </c>
    </row>
    <row r="10" spans="1:5" ht="19" customHeight="1" x14ac:dyDescent="0.35">
      <c r="A10" s="6" t="s">
        <v>17</v>
      </c>
      <c r="B10" s="7">
        <v>141500</v>
      </c>
      <c r="C10" s="8">
        <v>440</v>
      </c>
      <c r="D10" s="6">
        <v>0</v>
      </c>
      <c r="E10" s="9" t="s">
        <v>16</v>
      </c>
    </row>
    <row r="11" spans="1:5" ht="19" customHeight="1" x14ac:dyDescent="0.35">
      <c r="A11" s="2" t="s">
        <v>18</v>
      </c>
      <c r="B11" s="3">
        <v>139800</v>
      </c>
      <c r="C11" s="4">
        <v>440</v>
      </c>
      <c r="D11" s="2">
        <v>0</v>
      </c>
      <c r="E11" s="5" t="s">
        <v>19</v>
      </c>
    </row>
    <row r="12" spans="1:5" ht="19" customHeight="1" x14ac:dyDescent="0.35">
      <c r="A12" s="6" t="s">
        <v>20</v>
      </c>
      <c r="B12" s="7">
        <v>158200</v>
      </c>
      <c r="C12" s="8">
        <v>440</v>
      </c>
      <c r="D12" s="6">
        <v>1</v>
      </c>
      <c r="E12" s="9" t="s">
        <v>21</v>
      </c>
    </row>
    <row r="13" spans="1:5" ht="19" customHeight="1" x14ac:dyDescent="0.35">
      <c r="A13" s="2" t="s">
        <v>22</v>
      </c>
      <c r="B13" s="3">
        <v>162400</v>
      </c>
      <c r="C13" s="4">
        <v>440</v>
      </c>
      <c r="D13" s="2">
        <v>0</v>
      </c>
      <c r="E13" s="5" t="s">
        <v>23</v>
      </c>
    </row>
    <row r="14" spans="1:5" ht="19" customHeight="1" x14ac:dyDescent="0.35">
      <c r="A14" s="6" t="s">
        <v>24</v>
      </c>
      <c r="B14" s="7">
        <v>159800</v>
      </c>
      <c r="C14" s="8">
        <v>440</v>
      </c>
      <c r="D14" s="6">
        <v>0</v>
      </c>
      <c r="E14" s="9" t="s">
        <v>25</v>
      </c>
    </row>
    <row r="15" spans="1:5" ht="19" customHeight="1" x14ac:dyDescent="0.35">
      <c r="A15" s="2" t="s">
        <v>26</v>
      </c>
      <c r="B15" s="3">
        <v>156200</v>
      </c>
      <c r="C15" s="4">
        <v>440</v>
      </c>
      <c r="D15" s="2">
        <v>0</v>
      </c>
      <c r="E15" s="5" t="s">
        <v>27</v>
      </c>
    </row>
    <row r="16" spans="1:5" ht="19" customHeight="1" x14ac:dyDescent="0.35">
      <c r="A16" s="6" t="s">
        <v>28</v>
      </c>
      <c r="B16" s="7">
        <v>122100</v>
      </c>
      <c r="C16" s="8">
        <v>440</v>
      </c>
      <c r="D16" s="6">
        <v>0</v>
      </c>
      <c r="E16" s="9" t="s">
        <v>29</v>
      </c>
    </row>
    <row r="17" spans="1:5" ht="19" customHeight="1" x14ac:dyDescent="0.35">
      <c r="A17" s="2" t="s">
        <v>30</v>
      </c>
      <c r="B17" s="3">
        <v>138500</v>
      </c>
      <c r="C17" s="4">
        <v>440</v>
      </c>
      <c r="D17" s="2">
        <v>0</v>
      </c>
      <c r="E17" s="5" t="s">
        <v>31</v>
      </c>
    </row>
    <row r="18" spans="1:5" ht="19" customHeight="1" x14ac:dyDescent="0.35">
      <c r="A18" s="6" t="s">
        <v>32</v>
      </c>
      <c r="B18" s="7">
        <v>141000</v>
      </c>
      <c r="C18" s="8">
        <v>440</v>
      </c>
      <c r="D18" s="6">
        <v>0</v>
      </c>
      <c r="E18" s="9" t="s">
        <v>33</v>
      </c>
    </row>
    <row r="19" spans="1:5" ht="19" customHeight="1" x14ac:dyDescent="0.35">
      <c r="A19" s="2" t="s">
        <v>34</v>
      </c>
      <c r="B19" s="3">
        <v>140200</v>
      </c>
      <c r="C19" s="4">
        <v>440</v>
      </c>
      <c r="D19" s="2">
        <v>0</v>
      </c>
      <c r="E19" s="5" t="s">
        <v>33</v>
      </c>
    </row>
    <row r="20" spans="1:5" ht="19" customHeight="1" x14ac:dyDescent="0.35">
      <c r="A20" s="6" t="s">
        <v>35</v>
      </c>
      <c r="B20" s="7">
        <v>139600</v>
      </c>
      <c r="C20" s="8">
        <v>440</v>
      </c>
      <c r="D20" s="6">
        <v>0</v>
      </c>
      <c r="E20" s="9" t="s">
        <v>36</v>
      </c>
    </row>
    <row r="21" spans="1:5" ht="19" customHeight="1" x14ac:dyDescent="0.35">
      <c r="A21" s="2" t="s">
        <v>37</v>
      </c>
      <c r="B21" s="3">
        <v>138100</v>
      </c>
      <c r="C21" s="4">
        <v>460</v>
      </c>
      <c r="D21" s="2">
        <v>0</v>
      </c>
      <c r="E21" s="5" t="s">
        <v>38</v>
      </c>
    </row>
    <row r="22" spans="1:5" ht="19" customHeight="1" x14ac:dyDescent="0.35">
      <c r="A22" s="6" t="s">
        <v>39</v>
      </c>
      <c r="B22" s="7">
        <v>139800</v>
      </c>
      <c r="C22" s="8">
        <v>460</v>
      </c>
      <c r="D22" s="6">
        <v>0</v>
      </c>
      <c r="E22" s="9" t="s">
        <v>40</v>
      </c>
    </row>
    <row r="23" spans="1:5" ht="19" customHeight="1" x14ac:dyDescent="0.35">
      <c r="A23" s="2" t="s">
        <v>41</v>
      </c>
      <c r="B23" s="3">
        <v>141200</v>
      </c>
      <c r="C23" s="4">
        <v>460</v>
      </c>
      <c r="D23" s="2">
        <v>0</v>
      </c>
      <c r="E23" s="5" t="s">
        <v>42</v>
      </c>
    </row>
    <row r="24" spans="1:5" ht="19" customHeight="1" x14ac:dyDescent="0.35">
      <c r="A24" s="6" t="s">
        <v>43</v>
      </c>
      <c r="B24" s="7">
        <v>165400</v>
      </c>
      <c r="C24" s="8">
        <v>460</v>
      </c>
      <c r="D24" s="6">
        <v>1</v>
      </c>
      <c r="E24" s="9" t="s">
        <v>44</v>
      </c>
    </row>
    <row r="25" spans="1:5" ht="19" customHeight="1" x14ac:dyDescent="0.35">
      <c r="A25" s="2" t="s">
        <v>45</v>
      </c>
      <c r="B25" s="3">
        <v>143000</v>
      </c>
      <c r="C25" s="4">
        <v>460</v>
      </c>
      <c r="D25" s="2">
        <v>0</v>
      </c>
      <c r="E25" s="5" t="s">
        <v>46</v>
      </c>
    </row>
    <row r="26" spans="1:5" ht="19" customHeight="1" x14ac:dyDescent="0.35">
      <c r="A26" s="6" t="s">
        <v>47</v>
      </c>
      <c r="B26" s="7">
        <v>125000</v>
      </c>
      <c r="C26" s="8">
        <v>460</v>
      </c>
      <c r="D26" s="6">
        <v>0</v>
      </c>
      <c r="E26" s="9" t="s">
        <v>48</v>
      </c>
    </row>
    <row r="27" spans="1:5" ht="19" customHeight="1" x14ac:dyDescent="0.35">
      <c r="A27" s="2" t="s">
        <v>49</v>
      </c>
      <c r="B27" s="3">
        <v>137800</v>
      </c>
      <c r="C27" s="4">
        <v>460</v>
      </c>
      <c r="D27" s="2">
        <v>0</v>
      </c>
      <c r="E27" s="5" t="s">
        <v>50</v>
      </c>
    </row>
    <row r="28" spans="1:5" ht="19" customHeight="1" x14ac:dyDescent="0.35">
      <c r="A28" s="6" t="s">
        <v>51</v>
      </c>
      <c r="B28" s="7">
        <v>142500</v>
      </c>
      <c r="C28" s="8">
        <v>460</v>
      </c>
      <c r="D28" s="6">
        <v>0</v>
      </c>
      <c r="E28" s="9" t="s">
        <v>52</v>
      </c>
    </row>
    <row r="29" spans="1:5" ht="19" customHeight="1" x14ac:dyDescent="0.35">
      <c r="A29" s="2" t="s">
        <v>53</v>
      </c>
      <c r="B29" s="3">
        <v>144100</v>
      </c>
      <c r="C29" s="4">
        <v>460</v>
      </c>
      <c r="D29" s="2">
        <v>0</v>
      </c>
      <c r="E29" s="5" t="s">
        <v>54</v>
      </c>
    </row>
    <row r="30" spans="1:5" ht="19" customHeight="1" x14ac:dyDescent="0.35">
      <c r="A30" s="6" t="s">
        <v>55</v>
      </c>
      <c r="B30" s="7">
        <v>143600</v>
      </c>
      <c r="C30" s="8">
        <v>460</v>
      </c>
      <c r="D30" s="6">
        <v>0</v>
      </c>
      <c r="E30" s="9" t="s">
        <v>42</v>
      </c>
    </row>
    <row r="31" spans="1:5" ht="19" customHeight="1" x14ac:dyDescent="0.35">
      <c r="A31" s="2" t="s">
        <v>56</v>
      </c>
      <c r="B31" s="3">
        <v>145200</v>
      </c>
      <c r="C31" s="4">
        <v>460</v>
      </c>
      <c r="D31" s="2">
        <v>0</v>
      </c>
      <c r="E31" s="5" t="s">
        <v>57</v>
      </c>
    </row>
    <row r="32" spans="1:5" ht="19" customHeight="1" x14ac:dyDescent="0.35">
      <c r="A32" s="6" t="s">
        <v>58</v>
      </c>
      <c r="B32" s="7">
        <v>148900</v>
      </c>
      <c r="C32" s="8">
        <v>460</v>
      </c>
      <c r="D32" s="6">
        <v>0</v>
      </c>
      <c r="E32" s="9" t="s">
        <v>59</v>
      </c>
    </row>
    <row r="33" spans="1:5" ht="19" customHeight="1" x14ac:dyDescent="0.35">
      <c r="A33" s="2" t="s">
        <v>60</v>
      </c>
      <c r="B33" s="3">
        <v>118500</v>
      </c>
      <c r="C33" s="4">
        <v>460</v>
      </c>
      <c r="D33" s="2">
        <v>0</v>
      </c>
      <c r="E33" s="5" t="s">
        <v>61</v>
      </c>
    </row>
    <row r="34" spans="1:5" ht="19" customHeight="1" x14ac:dyDescent="0.35">
      <c r="A34" s="6" t="s">
        <v>62</v>
      </c>
      <c r="B34" s="7">
        <v>158400</v>
      </c>
      <c r="C34" s="8">
        <v>460</v>
      </c>
      <c r="D34" s="6">
        <v>0</v>
      </c>
      <c r="E34" s="9" t="s">
        <v>63</v>
      </c>
    </row>
    <row r="35" spans="1:5" ht="19" customHeight="1" x14ac:dyDescent="0.35">
      <c r="A35" s="2" t="s">
        <v>64</v>
      </c>
      <c r="B35" s="3">
        <v>179200</v>
      </c>
      <c r="C35" s="4">
        <v>460</v>
      </c>
      <c r="D35" s="2">
        <v>1</v>
      </c>
      <c r="E35" s="5" t="s">
        <v>65</v>
      </c>
    </row>
    <row r="36" spans="1:5" ht="19" customHeight="1" x14ac:dyDescent="0.35">
      <c r="A36" s="6" t="s">
        <v>66</v>
      </c>
      <c r="B36" s="7">
        <v>151000</v>
      </c>
      <c r="C36" s="8">
        <v>460</v>
      </c>
      <c r="D36" s="6">
        <v>0</v>
      </c>
      <c r="E36" s="9" t="s">
        <v>46</v>
      </c>
    </row>
    <row r="37" spans="1:5" ht="19" customHeight="1" x14ac:dyDescent="0.35">
      <c r="A37" s="2" t="s">
        <v>67</v>
      </c>
      <c r="B37" s="3">
        <v>147600</v>
      </c>
      <c r="C37" s="4">
        <v>460</v>
      </c>
      <c r="D37" s="2">
        <v>0</v>
      </c>
      <c r="E37" s="5" t="s">
        <v>42</v>
      </c>
    </row>
    <row r="38" spans="1:5" ht="19" customHeight="1" x14ac:dyDescent="0.35">
      <c r="A38" s="6" t="s">
        <v>68</v>
      </c>
      <c r="B38" s="7">
        <v>146800</v>
      </c>
      <c r="C38" s="8">
        <v>460</v>
      </c>
      <c r="D38" s="6">
        <v>0</v>
      </c>
      <c r="E38" s="9" t="s">
        <v>69</v>
      </c>
    </row>
    <row r="39" spans="1:5" ht="19" customHeight="1" x14ac:dyDescent="0.35">
      <c r="A39" s="2" t="s">
        <v>70</v>
      </c>
      <c r="B39" s="3">
        <v>148200</v>
      </c>
      <c r="C39" s="4">
        <v>460</v>
      </c>
      <c r="D39" s="2">
        <v>0</v>
      </c>
      <c r="E39" s="5" t="s">
        <v>69</v>
      </c>
    </row>
    <row r="40" spans="1:5" ht="19" customHeight="1" x14ac:dyDescent="0.35">
      <c r="A40" s="6" t="s">
        <v>71</v>
      </c>
      <c r="B40" s="7">
        <v>149100</v>
      </c>
      <c r="C40" s="8">
        <v>460</v>
      </c>
      <c r="D40" s="6">
        <v>0</v>
      </c>
      <c r="E40" s="9" t="s">
        <v>72</v>
      </c>
    </row>
    <row r="41" spans="1:5" ht="19" customHeight="1" x14ac:dyDescent="0.35">
      <c r="A41" s="2" t="s">
        <v>73</v>
      </c>
      <c r="B41" s="3">
        <v>174300</v>
      </c>
      <c r="C41" s="4">
        <v>460</v>
      </c>
      <c r="D41" s="2">
        <v>1</v>
      </c>
      <c r="E41" s="5" t="s">
        <v>74</v>
      </c>
    </row>
    <row r="42" spans="1:5" ht="19" customHeight="1" x14ac:dyDescent="0.35">
      <c r="A42" s="6" t="s">
        <v>75</v>
      </c>
      <c r="B42" s="7">
        <v>151500</v>
      </c>
      <c r="C42" s="8">
        <v>460</v>
      </c>
      <c r="D42" s="6">
        <v>0</v>
      </c>
      <c r="E42" s="9" t="s">
        <v>46</v>
      </c>
    </row>
    <row r="43" spans="1:5" ht="19" customHeight="1" x14ac:dyDescent="0.35">
      <c r="A43" s="2" t="s">
        <v>76</v>
      </c>
      <c r="B43" s="3">
        <v>150200</v>
      </c>
      <c r="C43" s="4">
        <v>460</v>
      </c>
      <c r="D43" s="2">
        <v>0</v>
      </c>
      <c r="E43" s="5" t="s">
        <v>42</v>
      </c>
    </row>
    <row r="44" spans="1:5" ht="19" customHeight="1" x14ac:dyDescent="0.35">
      <c r="A44" s="6" t="s">
        <v>77</v>
      </c>
      <c r="B44" s="7">
        <v>152800</v>
      </c>
      <c r="C44" s="8">
        <v>460</v>
      </c>
      <c r="D44" s="6">
        <v>0</v>
      </c>
      <c r="E44" s="9" t="s">
        <v>78</v>
      </c>
    </row>
    <row r="45" spans="1:5" ht="19" customHeight="1" x14ac:dyDescent="0.35">
      <c r="A45" s="2" t="s">
        <v>79</v>
      </c>
      <c r="B45" s="3">
        <v>155400</v>
      </c>
      <c r="C45" s="4">
        <v>460</v>
      </c>
      <c r="D45" s="2">
        <v>0</v>
      </c>
      <c r="E45" s="5" t="s">
        <v>80</v>
      </c>
    </row>
    <row r="46" spans="1:5" ht="19" customHeight="1" x14ac:dyDescent="0.35">
      <c r="A46" s="6" t="s">
        <v>81</v>
      </c>
      <c r="B46" s="7">
        <v>157100</v>
      </c>
      <c r="C46" s="8">
        <v>460</v>
      </c>
      <c r="D46" s="6">
        <v>0</v>
      </c>
      <c r="E46" s="9" t="s">
        <v>82</v>
      </c>
    </row>
    <row r="47" spans="1:5" ht="19" customHeight="1" x14ac:dyDescent="0.35">
      <c r="A47" s="2" t="s">
        <v>83</v>
      </c>
      <c r="B47" s="3">
        <v>158900</v>
      </c>
      <c r="C47" s="4">
        <v>460</v>
      </c>
      <c r="D47" s="2">
        <v>0</v>
      </c>
      <c r="E47" s="5" t="s">
        <v>82</v>
      </c>
    </row>
    <row r="48" spans="1:5" ht="19" customHeight="1" x14ac:dyDescent="0.35">
      <c r="A48" s="6" t="s">
        <v>84</v>
      </c>
      <c r="B48" s="7">
        <v>185200</v>
      </c>
      <c r="C48" s="8">
        <v>460</v>
      </c>
      <c r="D48" s="6">
        <v>1</v>
      </c>
      <c r="E48" s="9" t="s">
        <v>85</v>
      </c>
    </row>
    <row r="49" spans="1:5" ht="19" customHeight="1" x14ac:dyDescent="0.35">
      <c r="A49" s="2" t="s">
        <v>86</v>
      </c>
      <c r="B49" s="3">
        <v>161400</v>
      </c>
      <c r="C49" s="4">
        <v>460</v>
      </c>
      <c r="D49" s="2">
        <v>0</v>
      </c>
      <c r="E49" s="5" t="s">
        <v>87</v>
      </c>
    </row>
    <row r="50" spans="1:5" ht="19" customHeight="1" x14ac:dyDescent="0.35">
      <c r="A50" s="6" t="s">
        <v>88</v>
      </c>
      <c r="B50" s="7">
        <v>163800</v>
      </c>
      <c r="C50" s="8">
        <v>460</v>
      </c>
      <c r="D50" s="6">
        <v>0</v>
      </c>
      <c r="E50" s="9" t="s">
        <v>89</v>
      </c>
    </row>
    <row r="51" spans="1:5" ht="19" customHeight="1" x14ac:dyDescent="0.35">
      <c r="A51" s="2" t="s">
        <v>90</v>
      </c>
      <c r="B51" s="3">
        <v>166000</v>
      </c>
      <c r="C51" s="4">
        <v>460</v>
      </c>
      <c r="D51" s="2">
        <v>0</v>
      </c>
      <c r="E51" s="5" t="s">
        <v>91</v>
      </c>
    </row>
    <row r="52" spans="1:5" ht="19" customHeight="1" x14ac:dyDescent="0.35">
      <c r="A52" s="6" t="s">
        <v>92</v>
      </c>
      <c r="B52" s="7">
        <v>168500</v>
      </c>
      <c r="C52" s="8">
        <v>460</v>
      </c>
      <c r="D52" s="6">
        <v>0</v>
      </c>
      <c r="E52" s="9" t="s">
        <v>10</v>
      </c>
    </row>
    <row r="53" spans="1:5" ht="19" customHeight="1" x14ac:dyDescent="0.35">
      <c r="A53" s="2" t="s">
        <v>93</v>
      </c>
      <c r="B53" s="3">
        <v>170100</v>
      </c>
      <c r="C53" s="4">
        <v>460</v>
      </c>
      <c r="D53" s="2">
        <v>0</v>
      </c>
      <c r="E53" s="5" t="s">
        <v>10</v>
      </c>
    </row>
    <row r="54" spans="1:5" ht="19" customHeight="1" x14ac:dyDescent="0.35">
      <c r="A54" s="6" t="s">
        <v>94</v>
      </c>
      <c r="B54" s="7">
        <v>171900</v>
      </c>
      <c r="C54" s="8">
        <v>460</v>
      </c>
      <c r="D54" s="6">
        <v>0</v>
      </c>
      <c r="E54" s="9" t="s">
        <v>95</v>
      </c>
    </row>
    <row r="55" spans="1:5" ht="19" customHeight="1" x14ac:dyDescent="0.35">
      <c r="A55" s="2" t="s">
        <v>96</v>
      </c>
      <c r="B55" s="3">
        <v>162300</v>
      </c>
      <c r="C55" s="4">
        <v>460</v>
      </c>
      <c r="D55" s="2">
        <v>0</v>
      </c>
      <c r="E55" s="5" t="s">
        <v>97</v>
      </c>
    </row>
    <row r="56" spans="1:5" ht="19" customHeight="1" x14ac:dyDescent="0.35">
      <c r="A56" s="6" t="s">
        <v>98</v>
      </c>
      <c r="B56" s="7">
        <v>148500</v>
      </c>
      <c r="C56" s="8">
        <v>460</v>
      </c>
      <c r="D56" s="6">
        <v>0</v>
      </c>
      <c r="E56" s="9" t="s">
        <v>99</v>
      </c>
    </row>
    <row r="57" spans="1:5" ht="19" customHeight="1" x14ac:dyDescent="0.35">
      <c r="A57" s="2" t="s">
        <v>100</v>
      </c>
      <c r="B57" s="3">
        <v>161200</v>
      </c>
      <c r="C57" s="4">
        <v>460</v>
      </c>
      <c r="D57" s="2">
        <v>0</v>
      </c>
      <c r="E57" s="5" t="s">
        <v>101</v>
      </c>
    </row>
    <row r="58" spans="1:5" ht="19" customHeight="1" x14ac:dyDescent="0.35">
      <c r="A58" s="6" t="s">
        <v>102</v>
      </c>
      <c r="B58" s="7">
        <v>163500</v>
      </c>
      <c r="C58" s="8">
        <v>460</v>
      </c>
      <c r="D58" s="6">
        <v>0</v>
      </c>
      <c r="E58" s="9" t="s">
        <v>10</v>
      </c>
    </row>
    <row r="59" spans="1:5" ht="19" customHeight="1" x14ac:dyDescent="0.35">
      <c r="A59" s="2" t="s">
        <v>103</v>
      </c>
      <c r="B59" s="3">
        <v>188400</v>
      </c>
      <c r="C59" s="4">
        <v>460</v>
      </c>
      <c r="D59" s="2">
        <v>1</v>
      </c>
      <c r="E59" s="5" t="s">
        <v>104</v>
      </c>
    </row>
    <row r="60" spans="1:5" ht="19" customHeight="1" x14ac:dyDescent="0.35">
      <c r="A60" s="6" t="s">
        <v>105</v>
      </c>
      <c r="B60" s="7">
        <v>157900</v>
      </c>
      <c r="C60" s="8">
        <v>460</v>
      </c>
      <c r="D60" s="6">
        <v>0</v>
      </c>
      <c r="E60" s="9" t="s">
        <v>46</v>
      </c>
    </row>
    <row r="61" spans="1:5" ht="19" customHeight="1" x14ac:dyDescent="0.35">
      <c r="A61" s="2" t="s">
        <v>106</v>
      </c>
      <c r="B61" s="3">
        <v>152400</v>
      </c>
      <c r="C61" s="4">
        <v>460</v>
      </c>
      <c r="D61" s="2">
        <v>0</v>
      </c>
      <c r="E61" s="5" t="s">
        <v>107</v>
      </c>
    </row>
    <row r="62" spans="1:5" ht="19" customHeight="1" x14ac:dyDescent="0.35">
      <c r="A62" s="6" t="s">
        <v>108</v>
      </c>
      <c r="B62" s="7">
        <v>176100</v>
      </c>
      <c r="C62" s="8">
        <v>460</v>
      </c>
      <c r="D62" s="6">
        <v>1</v>
      </c>
      <c r="E62" s="9" t="s">
        <v>109</v>
      </c>
    </row>
    <row r="63" spans="1:5" ht="19" customHeight="1" x14ac:dyDescent="0.35">
      <c r="A63" s="2" t="s">
        <v>110</v>
      </c>
      <c r="B63" s="3">
        <v>172500</v>
      </c>
      <c r="C63" s="4">
        <v>460</v>
      </c>
      <c r="D63" s="2">
        <v>0</v>
      </c>
      <c r="E63" s="5" t="s">
        <v>111</v>
      </c>
    </row>
    <row r="64" spans="1:5" ht="19" customHeight="1" x14ac:dyDescent="0.35">
      <c r="A64" s="6" t="s">
        <v>112</v>
      </c>
      <c r="B64" s="7">
        <v>169200</v>
      </c>
      <c r="C64" s="8">
        <v>460</v>
      </c>
      <c r="D64" s="6">
        <v>0</v>
      </c>
      <c r="E64" s="9" t="s">
        <v>113</v>
      </c>
    </row>
    <row r="65" spans="1:5" ht="19" customHeight="1" x14ac:dyDescent="0.35">
      <c r="A65" s="2" t="s">
        <v>114</v>
      </c>
      <c r="B65" s="3">
        <v>166100</v>
      </c>
      <c r="C65" s="4">
        <v>460</v>
      </c>
      <c r="D65" s="2">
        <v>0</v>
      </c>
      <c r="E65" s="5" t="s">
        <v>27</v>
      </c>
    </row>
    <row r="66" spans="1:5" ht="19" customHeight="1" x14ac:dyDescent="0.35">
      <c r="A66" s="6" t="s">
        <v>115</v>
      </c>
      <c r="B66" s="7">
        <v>164000</v>
      </c>
      <c r="C66" s="8">
        <v>460</v>
      </c>
      <c r="D66" s="6">
        <v>0</v>
      </c>
      <c r="E66" s="9" t="s">
        <v>116</v>
      </c>
    </row>
    <row r="67" spans="1:5" ht="19" customHeight="1" x14ac:dyDescent="0.35">
      <c r="A67" s="2" t="s">
        <v>117</v>
      </c>
      <c r="B67" s="3">
        <v>131200</v>
      </c>
      <c r="C67" s="4">
        <v>460</v>
      </c>
      <c r="D67" s="2">
        <v>0</v>
      </c>
      <c r="E67" s="5" t="s">
        <v>118</v>
      </c>
    </row>
    <row r="68" spans="1:5" ht="19" customHeight="1" x14ac:dyDescent="0.35">
      <c r="A68" s="6" t="s">
        <v>119</v>
      </c>
      <c r="B68" s="7">
        <v>148500</v>
      </c>
      <c r="C68" s="8">
        <v>460</v>
      </c>
      <c r="D68" s="6">
        <v>0</v>
      </c>
      <c r="E68" s="9" t="s">
        <v>120</v>
      </c>
    </row>
    <row r="69" spans="1:5" ht="19" customHeight="1" x14ac:dyDescent="0.35">
      <c r="A69" s="2" t="s">
        <v>121</v>
      </c>
      <c r="B69" s="3">
        <v>150100</v>
      </c>
      <c r="C69" s="4">
        <v>460</v>
      </c>
      <c r="D69" s="2">
        <v>0</v>
      </c>
      <c r="E69" s="5" t="s">
        <v>33</v>
      </c>
    </row>
    <row r="70" spans="1:5" ht="19" customHeight="1" x14ac:dyDescent="0.35">
      <c r="A70" s="6" t="s">
        <v>122</v>
      </c>
      <c r="B70" s="7">
        <v>149800</v>
      </c>
      <c r="C70" s="8">
        <v>460</v>
      </c>
      <c r="D70" s="6">
        <v>0</v>
      </c>
      <c r="E70" s="9" t="s">
        <v>33</v>
      </c>
    </row>
    <row r="71" spans="1:5" ht="19" customHeight="1" x14ac:dyDescent="0.35">
      <c r="A71" s="2" t="s">
        <v>123</v>
      </c>
      <c r="B71" s="3">
        <v>148200</v>
      </c>
      <c r="C71" s="4">
        <v>460</v>
      </c>
      <c r="D71" s="2">
        <v>0</v>
      </c>
      <c r="E71" s="5" t="s">
        <v>124</v>
      </c>
    </row>
    <row r="72" spans="1:5" ht="19" customHeight="1" x14ac:dyDescent="0.35">
      <c r="A72" s="6" t="s">
        <v>125</v>
      </c>
      <c r="B72" s="7">
        <v>147000</v>
      </c>
      <c r="C72" s="8">
        <v>485</v>
      </c>
      <c r="D72" s="6">
        <v>0</v>
      </c>
      <c r="E72" s="9" t="s">
        <v>126</v>
      </c>
    </row>
    <row r="73" spans="1:5" ht="19" customHeight="1" x14ac:dyDescent="0.35">
      <c r="A73" s="2" t="s">
        <v>127</v>
      </c>
      <c r="B73" s="3">
        <v>149100</v>
      </c>
      <c r="C73" s="4">
        <v>485</v>
      </c>
      <c r="D73" s="2">
        <v>0</v>
      </c>
      <c r="E73" s="5" t="s">
        <v>128</v>
      </c>
    </row>
    <row r="74" spans="1:5" ht="19" customHeight="1" x14ac:dyDescent="0.35">
      <c r="A74" s="6" t="s">
        <v>129</v>
      </c>
      <c r="B74" s="7">
        <v>150800</v>
      </c>
      <c r="C74" s="8">
        <v>485</v>
      </c>
      <c r="D74" s="6">
        <v>0</v>
      </c>
      <c r="E74" s="9" t="s">
        <v>42</v>
      </c>
    </row>
    <row r="75" spans="1:5" ht="19" customHeight="1" x14ac:dyDescent="0.35">
      <c r="A75" s="2" t="s">
        <v>130</v>
      </c>
      <c r="B75" s="3">
        <v>178200</v>
      </c>
      <c r="C75" s="4">
        <v>485</v>
      </c>
      <c r="D75" s="2">
        <v>1</v>
      </c>
      <c r="E75" s="5" t="s">
        <v>131</v>
      </c>
    </row>
    <row r="76" spans="1:5" ht="19" customHeight="1" x14ac:dyDescent="0.35">
      <c r="A76" s="6" t="s">
        <v>132</v>
      </c>
      <c r="B76" s="7">
        <v>135100</v>
      </c>
      <c r="C76" s="8">
        <v>485</v>
      </c>
      <c r="D76" s="6">
        <v>0</v>
      </c>
      <c r="E76" s="9" t="s">
        <v>48</v>
      </c>
    </row>
    <row r="77" spans="1:5" ht="19" customHeight="1" x14ac:dyDescent="0.35">
      <c r="A77" s="2" t="s">
        <v>133</v>
      </c>
      <c r="B77" s="3">
        <v>148900</v>
      </c>
      <c r="C77" s="4">
        <v>485</v>
      </c>
      <c r="D77" s="2">
        <v>0</v>
      </c>
      <c r="E77" s="5" t="s">
        <v>134</v>
      </c>
    </row>
    <row r="78" spans="1:5" ht="19" customHeight="1" x14ac:dyDescent="0.35">
      <c r="A78" s="6" t="s">
        <v>135</v>
      </c>
      <c r="B78" s="7">
        <v>152100</v>
      </c>
      <c r="C78" s="8">
        <v>485</v>
      </c>
      <c r="D78" s="6">
        <v>0</v>
      </c>
      <c r="E78" s="9" t="s">
        <v>136</v>
      </c>
    </row>
    <row r="79" spans="1:5" ht="19" customHeight="1" x14ac:dyDescent="0.35">
      <c r="A79" s="2" t="s">
        <v>137</v>
      </c>
      <c r="B79" s="3">
        <v>153600</v>
      </c>
      <c r="C79" s="4">
        <v>485</v>
      </c>
      <c r="D79" s="2">
        <v>0</v>
      </c>
      <c r="E79" s="5" t="s">
        <v>136</v>
      </c>
    </row>
    <row r="80" spans="1:5" ht="19" customHeight="1" x14ac:dyDescent="0.35">
      <c r="A80" s="6" t="s">
        <v>138</v>
      </c>
      <c r="B80" s="7">
        <v>154800</v>
      </c>
      <c r="C80" s="8">
        <v>485</v>
      </c>
      <c r="D80" s="6">
        <v>0</v>
      </c>
      <c r="E80" s="9" t="s">
        <v>139</v>
      </c>
    </row>
    <row r="81" spans="1:5" ht="19" customHeight="1" x14ac:dyDescent="0.35">
      <c r="A81" s="2" t="s">
        <v>140</v>
      </c>
      <c r="B81" s="3">
        <v>153200</v>
      </c>
      <c r="C81" s="4">
        <v>485</v>
      </c>
      <c r="D81" s="2">
        <v>0</v>
      </c>
      <c r="E81" s="5" t="s">
        <v>141</v>
      </c>
    </row>
    <row r="82" spans="1:5" ht="19" customHeight="1" x14ac:dyDescent="0.35">
      <c r="A82" s="6" t="s">
        <v>142</v>
      </c>
      <c r="B82" s="7">
        <v>154000</v>
      </c>
      <c r="C82" s="8">
        <v>485</v>
      </c>
      <c r="D82" s="6">
        <v>0</v>
      </c>
      <c r="E82" s="9" t="s">
        <v>42</v>
      </c>
    </row>
    <row r="83" spans="1:5" ht="19" customHeight="1" x14ac:dyDescent="0.35">
      <c r="A83" s="2" t="s">
        <v>143</v>
      </c>
      <c r="B83" s="3">
        <v>156200</v>
      </c>
      <c r="C83" s="4">
        <v>485</v>
      </c>
      <c r="D83" s="2">
        <v>0</v>
      </c>
      <c r="E83" s="5" t="s">
        <v>57</v>
      </c>
    </row>
    <row r="84" spans="1:5" ht="19" customHeight="1" x14ac:dyDescent="0.35">
      <c r="A84" s="6" t="s">
        <v>144</v>
      </c>
      <c r="B84" s="7">
        <v>160100</v>
      </c>
      <c r="C84" s="8">
        <v>485</v>
      </c>
      <c r="D84" s="6">
        <v>0</v>
      </c>
      <c r="E84" s="9" t="s">
        <v>145</v>
      </c>
    </row>
    <row r="85" spans="1:5" ht="19" customHeight="1" x14ac:dyDescent="0.35">
      <c r="A85" s="2" t="s">
        <v>146</v>
      </c>
      <c r="B85" s="3">
        <v>192500</v>
      </c>
      <c r="C85" s="4">
        <v>485</v>
      </c>
      <c r="D85" s="2">
        <v>1</v>
      </c>
      <c r="E85" s="5" t="s">
        <v>147</v>
      </c>
    </row>
    <row r="86" spans="1:5" ht="19" customHeight="1" x14ac:dyDescent="0.35">
      <c r="A86" s="6" t="s">
        <v>148</v>
      </c>
      <c r="B86" s="7">
        <v>161800</v>
      </c>
      <c r="C86" s="8">
        <v>485</v>
      </c>
      <c r="D86" s="6">
        <v>0</v>
      </c>
      <c r="E86" s="9" t="s">
        <v>87</v>
      </c>
    </row>
    <row r="87" spans="1:5" ht="19" customHeight="1" x14ac:dyDescent="0.35">
      <c r="A87" s="2" t="s">
        <v>149</v>
      </c>
      <c r="B87" s="3">
        <v>157400</v>
      </c>
      <c r="C87" s="4">
        <v>485</v>
      </c>
      <c r="D87" s="2">
        <v>0</v>
      </c>
      <c r="E87" s="5" t="s">
        <v>69</v>
      </c>
    </row>
    <row r="88" spans="1:5" ht="19" customHeight="1" x14ac:dyDescent="0.35">
      <c r="A88" s="6" t="s">
        <v>150</v>
      </c>
      <c r="B88" s="7">
        <v>156800</v>
      </c>
      <c r="C88" s="8">
        <v>485</v>
      </c>
      <c r="D88" s="6">
        <v>0</v>
      </c>
      <c r="E88" s="9" t="s">
        <v>42</v>
      </c>
    </row>
    <row r="89" spans="1:5" ht="19" customHeight="1" x14ac:dyDescent="0.35">
      <c r="A89" s="2" t="s">
        <v>151</v>
      </c>
      <c r="B89" s="3">
        <v>158100</v>
      </c>
      <c r="C89" s="4">
        <v>485</v>
      </c>
      <c r="D89" s="2">
        <v>0</v>
      </c>
      <c r="E89" s="5" t="s">
        <v>42</v>
      </c>
    </row>
    <row r="90" spans="1:5" ht="19" customHeight="1" x14ac:dyDescent="0.35">
      <c r="A90" s="6" t="s">
        <v>152</v>
      </c>
      <c r="B90" s="7">
        <v>157200</v>
      </c>
      <c r="C90" s="8">
        <v>485</v>
      </c>
      <c r="D90" s="6">
        <v>0</v>
      </c>
      <c r="E90" s="9" t="s">
        <v>153</v>
      </c>
    </row>
    <row r="91" spans="1:5" ht="19" customHeight="1" x14ac:dyDescent="0.35">
      <c r="A91" s="2" t="s">
        <v>154</v>
      </c>
      <c r="B91" s="3">
        <v>159000</v>
      </c>
      <c r="C91" s="4">
        <v>485</v>
      </c>
      <c r="D91" s="2">
        <v>0</v>
      </c>
      <c r="E91" s="5" t="s">
        <v>153</v>
      </c>
    </row>
    <row r="92" spans="1:5" ht="19" customHeight="1" x14ac:dyDescent="0.35">
      <c r="A92" s="6" t="s">
        <v>155</v>
      </c>
      <c r="B92" s="7">
        <v>161200</v>
      </c>
      <c r="C92" s="8">
        <v>485</v>
      </c>
      <c r="D92" s="6">
        <v>0</v>
      </c>
      <c r="E92" s="9" t="s">
        <v>156</v>
      </c>
    </row>
    <row r="93" spans="1:5" ht="19" customHeight="1" x14ac:dyDescent="0.35">
      <c r="A93" s="2" t="s">
        <v>157</v>
      </c>
      <c r="B93" s="3">
        <v>189400</v>
      </c>
      <c r="C93" s="4">
        <v>485</v>
      </c>
      <c r="D93" s="2">
        <v>1</v>
      </c>
      <c r="E93" s="5" t="s">
        <v>158</v>
      </c>
    </row>
    <row r="94" spans="1:5" ht="19" customHeight="1" x14ac:dyDescent="0.35">
      <c r="A94" s="6" t="s">
        <v>159</v>
      </c>
      <c r="B94" s="7">
        <v>163500</v>
      </c>
      <c r="C94" s="8">
        <v>485</v>
      </c>
      <c r="D94" s="6">
        <v>0</v>
      </c>
      <c r="E94" s="9" t="s">
        <v>46</v>
      </c>
    </row>
    <row r="95" spans="1:5" ht="19" customHeight="1" x14ac:dyDescent="0.35">
      <c r="A95" s="2" t="s">
        <v>160</v>
      </c>
      <c r="B95" s="3">
        <v>162100</v>
      </c>
      <c r="C95" s="4">
        <v>485</v>
      </c>
      <c r="D95" s="2">
        <v>0</v>
      </c>
      <c r="E95" s="5" t="s">
        <v>161</v>
      </c>
    </row>
    <row r="96" spans="1:5" ht="19" customHeight="1" x14ac:dyDescent="0.35">
      <c r="A96" s="6" t="s">
        <v>162</v>
      </c>
      <c r="B96" s="7">
        <v>164800</v>
      </c>
      <c r="C96" s="8">
        <v>485</v>
      </c>
      <c r="D96" s="6">
        <v>0</v>
      </c>
      <c r="E96" s="9" t="s">
        <v>163</v>
      </c>
    </row>
    <row r="97" spans="1:5" ht="19" customHeight="1" x14ac:dyDescent="0.35">
      <c r="A97" s="2" t="s">
        <v>164</v>
      </c>
      <c r="B97" s="3">
        <v>167200</v>
      </c>
      <c r="C97" s="4">
        <v>485</v>
      </c>
      <c r="D97" s="2">
        <v>0</v>
      </c>
      <c r="E97" s="5" t="s">
        <v>165</v>
      </c>
    </row>
    <row r="98" spans="1:5" ht="19" customHeight="1" x14ac:dyDescent="0.35">
      <c r="A98" s="6" t="s">
        <v>166</v>
      </c>
      <c r="B98" s="7">
        <v>169100</v>
      </c>
      <c r="C98" s="8">
        <v>485</v>
      </c>
      <c r="D98" s="6">
        <v>0</v>
      </c>
      <c r="E98" s="9" t="s">
        <v>167</v>
      </c>
    </row>
    <row r="99" spans="1:5" ht="19" customHeight="1" x14ac:dyDescent="0.35">
      <c r="A99" s="2" t="s">
        <v>168</v>
      </c>
      <c r="B99" s="3">
        <v>171000</v>
      </c>
      <c r="C99" s="4">
        <v>485</v>
      </c>
      <c r="D99" s="2">
        <v>0</v>
      </c>
      <c r="E99" s="5" t="s">
        <v>167</v>
      </c>
    </row>
    <row r="100" spans="1:5" ht="19" customHeight="1" x14ac:dyDescent="0.35">
      <c r="A100" s="6" t="s">
        <v>169</v>
      </c>
      <c r="B100" s="7">
        <v>201500</v>
      </c>
      <c r="C100" s="8">
        <v>485</v>
      </c>
      <c r="D100" s="6">
        <v>1</v>
      </c>
      <c r="E100" s="9" t="s">
        <v>170</v>
      </c>
    </row>
    <row r="101" spans="1:5" ht="19" customHeight="1" x14ac:dyDescent="0.35">
      <c r="A101" s="2" t="s">
        <v>171</v>
      </c>
      <c r="B101" s="3">
        <v>173800</v>
      </c>
      <c r="C101" s="4">
        <v>485</v>
      </c>
      <c r="D101" s="2">
        <v>0</v>
      </c>
      <c r="E101" s="5" t="s">
        <v>87</v>
      </c>
    </row>
    <row r="102" spans="1:5" ht="19" customHeight="1" x14ac:dyDescent="0.35">
      <c r="A102" s="6" t="s">
        <v>172</v>
      </c>
      <c r="B102" s="7">
        <v>176200</v>
      </c>
      <c r="C102" s="8">
        <v>485</v>
      </c>
      <c r="D102" s="6">
        <v>0</v>
      </c>
      <c r="E102" s="9" t="s">
        <v>173</v>
      </c>
    </row>
    <row r="103" spans="1:5" ht="19" customHeight="1" x14ac:dyDescent="0.35">
      <c r="A103" s="2" t="s">
        <v>174</v>
      </c>
      <c r="B103" s="3">
        <v>178900</v>
      </c>
      <c r="C103" s="4">
        <v>485</v>
      </c>
      <c r="D103" s="2">
        <v>0</v>
      </c>
      <c r="E103" s="5" t="s">
        <v>175</v>
      </c>
    </row>
    <row r="104" spans="1:5" ht="19" customHeight="1" x14ac:dyDescent="0.35">
      <c r="A104" s="6" t="s">
        <v>176</v>
      </c>
      <c r="B104" s="7">
        <v>182500</v>
      </c>
      <c r="C104" s="8">
        <v>485</v>
      </c>
      <c r="D104" s="6">
        <v>0</v>
      </c>
      <c r="E104" s="9" t="s">
        <v>10</v>
      </c>
    </row>
    <row r="105" spans="1:5" ht="19" customHeight="1" x14ac:dyDescent="0.35">
      <c r="A105" s="2" t="s">
        <v>177</v>
      </c>
      <c r="B105" s="3">
        <v>184100</v>
      </c>
      <c r="C105" s="4">
        <v>485</v>
      </c>
      <c r="D105" s="2">
        <v>0</v>
      </c>
      <c r="E105" s="5" t="s">
        <v>178</v>
      </c>
    </row>
    <row r="106" spans="1:5" ht="19" customHeight="1" x14ac:dyDescent="0.35">
      <c r="A106" s="6" t="s">
        <v>179</v>
      </c>
      <c r="B106" s="7">
        <v>173000</v>
      </c>
      <c r="C106" s="8">
        <v>485</v>
      </c>
      <c r="D106" s="6">
        <v>0</v>
      </c>
      <c r="E106" s="9" t="s">
        <v>97</v>
      </c>
    </row>
    <row r="107" spans="1:5" ht="19" customHeight="1" x14ac:dyDescent="0.35">
      <c r="A107" s="2" t="s">
        <v>180</v>
      </c>
      <c r="B107" s="3">
        <v>158200</v>
      </c>
      <c r="C107" s="4">
        <v>485</v>
      </c>
      <c r="D107" s="2">
        <v>0</v>
      </c>
      <c r="E107" s="5" t="s">
        <v>181</v>
      </c>
    </row>
    <row r="108" spans="1:5" ht="22" customHeight="1" x14ac:dyDescent="0.35">
      <c r="A108" s="10" t="s">
        <v>182</v>
      </c>
      <c r="B108" s="11">
        <f>SUM(B5:B107)</f>
        <v>16193000</v>
      </c>
      <c r="C108" s="12">
        <f>AVERAGE(C5:C107)</f>
        <v>465.63106796116506</v>
      </c>
      <c r="D108" s="10">
        <f>SUM(D5:D107)</f>
        <v>12</v>
      </c>
      <c r="E108" s="13"/>
    </row>
  </sheetData>
  <mergeCells count="2">
    <mergeCell ref="A2:E2"/>
    <mergeCell ref="A1:E1"/>
  </mergeCells>
  <conditionalFormatting sqref="D5:D107">
    <cfRule type="cellIs" dxfId="0" priority="1" operator="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.5" x14ac:dyDescent="0.35"/>
  <cols>
    <col min="1" max="1" width="28" customWidth="1"/>
    <col min="2" max="2" width="22" customWidth="1"/>
    <col min="3" max="3" width="80" customWidth="1"/>
  </cols>
  <sheetData>
    <row r="1" spans="1:6" ht="20" x14ac:dyDescent="0.4">
      <c r="A1" s="29" t="s">
        <v>183</v>
      </c>
      <c r="B1" s="28"/>
      <c r="C1" s="28"/>
      <c r="D1" s="28"/>
      <c r="E1" s="28"/>
      <c r="F1" s="28"/>
    </row>
    <row r="3" spans="1:6" ht="15.5" x14ac:dyDescent="0.35">
      <c r="A3" s="14" t="s">
        <v>184</v>
      </c>
    </row>
    <row r="4" spans="1:6" x14ac:dyDescent="0.35">
      <c r="A4" s="15" t="s">
        <v>185</v>
      </c>
      <c r="B4" s="15" t="s">
        <v>186</v>
      </c>
      <c r="C4" s="15" t="s">
        <v>187</v>
      </c>
    </row>
    <row r="5" spans="1:6" x14ac:dyDescent="0.35">
      <c r="A5" s="16" t="s">
        <v>188</v>
      </c>
      <c r="B5" s="17" t="s">
        <v>189</v>
      </c>
      <c r="C5" s="17" t="s">
        <v>190</v>
      </c>
    </row>
    <row r="6" spans="1:6" x14ac:dyDescent="0.35">
      <c r="A6" s="18" t="s">
        <v>191</v>
      </c>
      <c r="B6" s="19" t="s">
        <v>192</v>
      </c>
      <c r="C6" s="19" t="s">
        <v>193</v>
      </c>
    </row>
    <row r="7" spans="1:6" x14ac:dyDescent="0.35">
      <c r="A7" s="16" t="s">
        <v>194</v>
      </c>
      <c r="B7" s="17" t="s">
        <v>195</v>
      </c>
      <c r="C7" s="17" t="s">
        <v>196</v>
      </c>
    </row>
    <row r="8" spans="1:6" x14ac:dyDescent="0.35">
      <c r="A8" s="18" t="s">
        <v>197</v>
      </c>
      <c r="B8" s="19" t="s">
        <v>198</v>
      </c>
      <c r="C8" s="19" t="s">
        <v>199</v>
      </c>
    </row>
    <row r="10" spans="1:6" ht="15.5" x14ac:dyDescent="0.35">
      <c r="A10" s="14" t="s">
        <v>200</v>
      </c>
    </row>
    <row r="11" spans="1:6" x14ac:dyDescent="0.35">
      <c r="A11" s="20" t="s">
        <v>201</v>
      </c>
      <c r="B11" s="20" t="s">
        <v>202</v>
      </c>
    </row>
    <row r="12" spans="1:6" ht="113.5" x14ac:dyDescent="0.35">
      <c r="A12" s="18" t="s">
        <v>203</v>
      </c>
      <c r="B12" s="21" t="s">
        <v>204</v>
      </c>
    </row>
    <row r="13" spans="1:6" ht="88.5" x14ac:dyDescent="0.35">
      <c r="A13" s="16" t="s">
        <v>205</v>
      </c>
      <c r="B13" s="22" t="s">
        <v>206</v>
      </c>
    </row>
    <row r="14" spans="1:6" ht="151" x14ac:dyDescent="0.35">
      <c r="A14" s="18" t="s">
        <v>207</v>
      </c>
      <c r="B14" s="21" t="s">
        <v>208</v>
      </c>
    </row>
    <row r="15" spans="1:6" ht="76" x14ac:dyDescent="0.35">
      <c r="A15" s="16" t="s">
        <v>209</v>
      </c>
      <c r="B15" s="22" t="s">
        <v>210</v>
      </c>
    </row>
    <row r="16" spans="1:6" ht="176" x14ac:dyDescent="0.35">
      <c r="A16" s="18" t="s">
        <v>211</v>
      </c>
      <c r="B16" s="21" t="s">
        <v>212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/>
  </sheetViews>
  <sheetFormatPr defaultRowHeight="14.5" x14ac:dyDescent="0.35"/>
  <cols>
    <col min="8" max="8" width="28" customWidth="1"/>
  </cols>
  <sheetData>
    <row r="1" spans="1:8" ht="20" x14ac:dyDescent="0.4">
      <c r="A1" s="29" t="s">
        <v>213</v>
      </c>
      <c r="B1" s="28"/>
      <c r="C1" s="28"/>
      <c r="D1" s="28"/>
      <c r="E1" s="28"/>
      <c r="F1" s="28"/>
      <c r="G1" s="28"/>
    </row>
    <row r="3" spans="1:8" x14ac:dyDescent="0.35">
      <c r="H3" s="23" t="s">
        <v>214</v>
      </c>
    </row>
    <row r="5" spans="1:8" x14ac:dyDescent="0.35">
      <c r="H5" s="24" t="s">
        <v>215</v>
      </c>
    </row>
    <row r="6" spans="1:8" ht="18" x14ac:dyDescent="0.35">
      <c r="H6" s="25">
        <f>SUM('Weekly Demand Data'!B5:B108)</f>
        <v>32386000</v>
      </c>
    </row>
    <row r="7" spans="1:8" x14ac:dyDescent="0.35">
      <c r="H7" s="24" t="s">
        <v>216</v>
      </c>
    </row>
    <row r="8" spans="1:8" ht="18" x14ac:dyDescent="0.35">
      <c r="H8" s="25">
        <f>AVERAGE('Weekly Demand Data'!B5:B108)</f>
        <v>311403.84615384613</v>
      </c>
    </row>
    <row r="9" spans="1:8" x14ac:dyDescent="0.35">
      <c r="H9" s="24" t="s">
        <v>217</v>
      </c>
    </row>
    <row r="10" spans="1:8" ht="18" x14ac:dyDescent="0.35">
      <c r="H10" s="25">
        <f>MAX('Weekly Demand Data'!B5:B108)</f>
        <v>16193000</v>
      </c>
    </row>
    <row r="11" spans="1:8" x14ac:dyDescent="0.35">
      <c r="H11" s="24" t="s">
        <v>218</v>
      </c>
    </row>
    <row r="12" spans="1:8" ht="18" x14ac:dyDescent="0.35">
      <c r="H12" s="25">
        <f>MIN('Weekly Demand Data'!B5:B108)</f>
        <v>118500</v>
      </c>
    </row>
    <row r="13" spans="1:8" x14ac:dyDescent="0.35">
      <c r="H13" s="24" t="s">
        <v>219</v>
      </c>
    </row>
    <row r="14" spans="1:8" ht="18" x14ac:dyDescent="0.35">
      <c r="H14" s="26">
        <f>SUM('Weekly Demand Data'!D5:D108)</f>
        <v>24</v>
      </c>
    </row>
  </sheetData>
  <mergeCells count="1"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Demand Data</vt:lpstr>
      <vt:lpstr>Calibration &amp; Assumptions</vt:lpstr>
      <vt:lpstr>Demand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Zulfiqar</cp:lastModifiedBy>
  <dcterms:created xsi:type="dcterms:W3CDTF">2026-09-09T16:00:49Z</dcterms:created>
  <dcterms:modified xsi:type="dcterms:W3CDTF">2026-09-09T16:09:35Z</dcterms:modified>
</cp:coreProperties>
</file>